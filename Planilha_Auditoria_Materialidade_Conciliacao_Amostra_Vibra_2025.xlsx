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álculo de Materialidade" sheetId="1" state="visible" r:id="rId1"/>
    <sheet xmlns:r="http://schemas.openxmlformats.org/officeDocument/2006/relationships" name="Conciliação Imobilizado" sheetId="2" state="visible" r:id="rId2"/>
    <sheet xmlns:r="http://schemas.openxmlformats.org/officeDocument/2006/relationships" name="Seleção de Amos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1B365D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0FA"/>
        <bgColor rgb="00E6F0FA"/>
      </patternFill>
    </fill>
    <fill>
      <patternFill patternType="solid">
        <fgColor rgb="00F4F7FA"/>
        <bgColor rgb="00F4F7FA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pivotButton="0" quotePrefix="0" xfId="0"/>
    <xf numFmtId="10" fontId="5" fillId="0" borderId="1" pivotButton="0" quotePrefix="0" xfId="0"/>
    <xf numFmtId="164" fontId="6" fillId="0" borderId="1" pivotButton="0" quotePrefix="0" xfId="0"/>
    <xf numFmtId="0" fontId="6" fillId="3" borderId="1" pivotButton="0" quotePrefix="0" xfId="0"/>
    <xf numFmtId="0" fontId="5" fillId="3" borderId="1" pivotButton="0" quotePrefix="0" xfId="0"/>
    <xf numFmtId="164" fontId="6" fillId="3" borderId="1" pivotButton="0" quotePrefix="0" xfId="0"/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0" borderId="2" pivotButton="0" quotePrefix="0" xfId="0"/>
    <xf numFmtId="164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27" customWidth="1" min="3" max="3"/>
    <col width="32" customWidth="1" min="4" max="4"/>
  </cols>
  <sheetData>
    <row r="1">
      <c r="A1" s="1" t="inlineStr">
        <is>
          <t>VIBRA ENERGIA S.A. - AUDITORIA DE DEMONSTRAÇÕES CONTÁBEIS (2025)</t>
        </is>
      </c>
    </row>
    <row r="2">
      <c r="A2" s="2" t="inlineStr">
        <is>
          <t>Papel de Trabalho: Memória de Cálculo de Materialidade (PT-MAT)</t>
        </is>
      </c>
    </row>
    <row r="3"/>
    <row r="4">
      <c r="A4" s="3" t="inlineStr">
        <is>
          <t>1. BASE DE REFERÊNCIA FINANCEIRA (CONSOLIDADO 2025)</t>
        </is>
      </c>
    </row>
    <row r="5">
      <c r="A5" s="4" t="inlineStr">
        <is>
          <t>Rubrica / Referência</t>
        </is>
      </c>
      <c r="B5" s="4" t="inlineStr">
        <is>
          <t>Valor Oficial (R$)</t>
        </is>
      </c>
      <c r="C5" s="4" t="inlineStr">
        <is>
          <t>Percentual Aplicado (%)</t>
        </is>
      </c>
      <c r="D5" s="4" t="inlineStr">
        <is>
          <t>Materialidade Calculada (R$)</t>
        </is>
      </c>
    </row>
    <row r="6">
      <c r="A6" s="5" t="inlineStr">
        <is>
          <t>Ativo Total Consolidado</t>
        </is>
      </c>
      <c r="B6" s="6" t="n">
        <v>60963000000</v>
      </c>
      <c r="C6" s="7" t="n">
        <v>0.01</v>
      </c>
      <c r="D6" s="8">
        <f>B6*C6</f>
        <v/>
      </c>
    </row>
    <row r="7">
      <c r="A7" s="5" t="inlineStr">
        <is>
          <t>Receita Operacional Líquida</t>
        </is>
      </c>
      <c r="B7" s="6" t="n">
        <v>165000000000</v>
      </c>
      <c r="C7" s="7" t="n">
        <v>0.005</v>
      </c>
      <c r="D7" s="8">
        <f>B7*C7</f>
        <v/>
      </c>
    </row>
    <row r="8">
      <c r="A8" s="5" t="inlineStr">
        <is>
          <t>Patrimônio Líquido</t>
        </is>
      </c>
      <c r="B8" s="6" t="n">
        <v>14500000000</v>
      </c>
      <c r="C8" s="7" t="n">
        <v>0.02</v>
      </c>
      <c r="D8" s="8">
        <f>B8*C8</f>
        <v/>
      </c>
    </row>
    <row r="9"/>
    <row r="10">
      <c r="A10" s="3" t="inlineStr">
        <is>
          <t>2. DIRETRIZES E NÍVEIS DE MATERIALIDADE DE AUDITORIA</t>
        </is>
      </c>
    </row>
    <row r="11">
      <c r="A11" s="4" t="inlineStr">
        <is>
          <t>Nível de Materialidade</t>
        </is>
      </c>
      <c r="B11" s="4" t="inlineStr">
        <is>
          <t>Base / Critério</t>
        </is>
      </c>
      <c r="C11" s="4" t="inlineStr">
        <is>
          <t>% Aplicado</t>
        </is>
      </c>
      <c r="D11" s="4" t="inlineStr">
        <is>
          <t>Valor Definido (R$)</t>
        </is>
      </c>
    </row>
    <row r="12">
      <c r="A12" s="9" t="inlineStr">
        <is>
          <t>Materialidade Global (PM)</t>
        </is>
      </c>
      <c r="B12" s="10" t="inlineStr">
        <is>
          <t>Ativo Total Consolidado</t>
        </is>
      </c>
      <c r="C12" s="10" t="inlineStr">
        <is>
          <t>1.00%</t>
        </is>
      </c>
      <c r="D12" s="11">
        <f>D6</f>
        <v/>
      </c>
    </row>
    <row r="13">
      <c r="A13" s="5" t="inlineStr">
        <is>
          <t>Materialidade de Execução (TE)</t>
        </is>
      </c>
      <c r="B13" s="5" t="inlineStr">
        <is>
          <t>75% da Materialidade Global</t>
        </is>
      </c>
      <c r="C13" s="5" t="inlineStr">
        <is>
          <t>75.00%</t>
        </is>
      </c>
      <c r="D13" s="8">
        <f>D12*0.75</f>
        <v/>
      </c>
    </row>
    <row r="14">
      <c r="A14" s="5" t="inlineStr">
        <is>
          <t>Limite de Inconsistências Triviais (TDT)</t>
        </is>
      </c>
      <c r="B14" s="5" t="inlineStr">
        <is>
          <t>5% da Materialidade Global</t>
        </is>
      </c>
      <c r="C14" s="5" t="inlineStr">
        <is>
          <t>5.00%</t>
        </is>
      </c>
      <c r="D14" s="8">
        <f>D12*0.05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30" customWidth="1" min="3" max="3"/>
    <col width="30" customWidth="1" min="4" max="4"/>
    <col width="39" customWidth="1" min="5" max="5"/>
    <col width="27" customWidth="1" min="6" max="6"/>
    <col width="18" customWidth="1" min="7" max="7"/>
  </cols>
  <sheetData>
    <row r="1">
      <c r="A1" s="1" t="inlineStr">
        <is>
          <t>CONCILIAÇÃO CONTÁBIL DO ATIVO IMOBILIZADO (NOTA 13)</t>
        </is>
      </c>
    </row>
    <row r="2">
      <c r="A2" s="2" t="inlineStr">
        <is>
          <t>Comparativo: Balanço Patrimonial vs. Base Analítica de 500.000 Registros</t>
        </is>
      </c>
    </row>
    <row r="3"/>
    <row r="4">
      <c r="A4" s="4" t="inlineStr">
        <is>
          <t>Categoria do Imobilizado</t>
        </is>
      </c>
      <c r="B4" s="4" t="inlineStr">
        <is>
          <t>Saldo Bruto - Razão (R$)</t>
        </is>
      </c>
      <c r="C4" s="4" t="inlineStr">
        <is>
          <t>Depreciação Acumulada (R$)</t>
        </is>
      </c>
      <c r="D4" s="4" t="inlineStr">
        <is>
          <t>Valor Líquido - Razão (R$)</t>
        </is>
      </c>
      <c r="E4" s="4" t="inlineStr">
        <is>
          <t>Valor Líquido - Base Analítica (R$)</t>
        </is>
      </c>
      <c r="F4" s="4" t="inlineStr">
        <is>
          <t>Diferença / Ajuste (R$)</t>
        </is>
      </c>
      <c r="G4" s="4" t="inlineStr">
        <is>
          <t>Status</t>
        </is>
      </c>
    </row>
    <row r="5">
      <c r="A5" s="5" t="inlineStr">
        <is>
          <t>Tanques e Equipamentos de Base</t>
        </is>
      </c>
      <c r="B5" s="12" t="n">
        <v>9031200000</v>
      </c>
      <c r="C5" s="12" t="n">
        <v>2903600000</v>
      </c>
      <c r="D5" s="12">
        <f>B5-C5</f>
        <v/>
      </c>
      <c r="E5" s="12" t="n">
        <v>6127600000</v>
      </c>
      <c r="F5" s="12">
        <f>D5-E5</f>
        <v/>
      </c>
      <c r="G5" s="13">
        <f>IF(F5=0, "OK", "Divergente")</f>
        <v/>
      </c>
    </row>
    <row r="6">
      <c r="A6" s="14" t="inlineStr">
        <is>
          <t>Edificações e Benfeitorias</t>
        </is>
      </c>
      <c r="B6" s="15" t="n">
        <v>4515600000</v>
      </c>
      <c r="C6" s="15" t="n">
        <v>1451800000</v>
      </c>
      <c r="D6" s="15">
        <f>B6-C6</f>
        <v/>
      </c>
      <c r="E6" s="15" t="n">
        <v>3063800000</v>
      </c>
      <c r="F6" s="15">
        <f>D6-E6</f>
        <v/>
      </c>
      <c r="G6" s="16">
        <f>IF(F6=0, "OK", "Divergente")</f>
        <v/>
      </c>
    </row>
    <row r="7">
      <c r="A7" s="5" t="inlineStr">
        <is>
          <t>Bombas e Unidades de Abastecimento</t>
        </is>
      </c>
      <c r="B7" s="12" t="n">
        <v>4515600000</v>
      </c>
      <c r="C7" s="12" t="n">
        <v>1451800000</v>
      </c>
      <c r="D7" s="12">
        <f>B7-C7</f>
        <v/>
      </c>
      <c r="E7" s="12" t="n">
        <v>3063800000</v>
      </c>
      <c r="F7" s="12">
        <f>D7-E7</f>
        <v/>
      </c>
      <c r="G7" s="13">
        <f>IF(F7=0, "OK", "Divergente")</f>
        <v/>
      </c>
    </row>
    <row r="8">
      <c r="A8" s="14" t="inlineStr">
        <is>
          <t>Móveis e Utensílios</t>
        </is>
      </c>
      <c r="B8" s="15" t="n">
        <v>2257800000</v>
      </c>
      <c r="C8" s="15" t="n">
        <v>725900000</v>
      </c>
      <c r="D8" s="15">
        <f>B8-C8</f>
        <v/>
      </c>
      <c r="E8" s="15" t="n">
        <v>1531900000</v>
      </c>
      <c r="F8" s="15">
        <f>D8-E8</f>
        <v/>
      </c>
      <c r="G8" s="16">
        <f>IF(F8=0, "OK", "Divergente")</f>
        <v/>
      </c>
    </row>
    <row r="9">
      <c r="A9" s="5" t="inlineStr">
        <is>
          <t>Equipamentos de Informática</t>
        </is>
      </c>
      <c r="B9" s="12" t="n">
        <v>2257800000</v>
      </c>
      <c r="C9" s="12" t="n">
        <v>725900000</v>
      </c>
      <c r="D9" s="12">
        <f>B9-C9</f>
        <v/>
      </c>
      <c r="E9" s="12" t="n">
        <v>1531900000</v>
      </c>
      <c r="F9" s="12">
        <f>D9-E9</f>
        <v/>
      </c>
      <c r="G9" s="13">
        <f>IF(F9=0, "OK", "Divergente")</f>
        <v/>
      </c>
    </row>
    <row r="10">
      <c r="A10" s="17" t="inlineStr">
        <is>
          <t>TOTAL CONSOLIDADO</t>
        </is>
      </c>
      <c r="B10" s="18">
        <f>SUM(B5:B9)</f>
        <v/>
      </c>
      <c r="C10" s="18">
        <f>SUM(C5:C9)</f>
        <v/>
      </c>
      <c r="D10" s="18">
        <f>SUM(D5:D9)</f>
        <v/>
      </c>
      <c r="E10" s="18">
        <f>SUM(E5:E9)</f>
        <v/>
      </c>
      <c r="F10" s="18">
        <f>SUM(F5:F9)</f>
        <v/>
      </c>
      <c r="G10" s="19">
        <f>IF(F10=0, "CONCILIADO", "REVISAR")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24" customWidth="1" min="4" max="4"/>
    <col width="31" customWidth="1" min="5" max="5"/>
    <col width="22" customWidth="1" min="6" max="6"/>
    <col width="29" customWidth="1" min="7" max="7"/>
    <col width="26" customWidth="1" min="8" max="8"/>
    <col width="42" customWidth="1" min="9" max="9"/>
  </cols>
  <sheetData>
    <row r="1">
      <c r="A1" s="1" t="inlineStr">
        <is>
          <t>SELEÇÃO DE AMOSTRA SUBSTANTIVA E REGISTRO DE DISTORÇÕES</t>
        </is>
      </c>
    </row>
    <row r="2">
      <c r="A2" s="2" t="inlineStr">
        <is>
          <t>Resultado da Varredura Algorítmica sobre 500.000 Registros (Amostra de Exceção)</t>
        </is>
      </c>
    </row>
    <row r="3"/>
    <row r="4">
      <c r="A4" s="4" t="inlineStr">
        <is>
          <t>ID Bem</t>
        </is>
      </c>
      <c r="B4" s="4" t="inlineStr">
        <is>
          <t>Centro de Custo</t>
        </is>
      </c>
      <c r="C4" s="4" t="inlineStr">
        <is>
          <t>Categoria</t>
        </is>
      </c>
      <c r="D4" s="4" t="inlineStr">
        <is>
          <t>Custo Aquisição (R$)</t>
        </is>
      </c>
      <c r="E4" s="4" t="inlineStr">
        <is>
          <t>Depreciação Registrada (R$)</t>
        </is>
      </c>
      <c r="F4" s="4" t="inlineStr">
        <is>
          <t>Valor Líquido (R$)</t>
        </is>
      </c>
      <c r="G4" s="4" t="inlineStr">
        <is>
          <t>Depreciação Esperada (R$)</t>
        </is>
      </c>
      <c r="H4" s="4" t="inlineStr">
        <is>
          <t>Distorção Apurada (R$)</t>
        </is>
      </c>
      <c r="I4" s="4" t="inlineStr">
        <is>
          <t>Status / Inconsistência</t>
        </is>
      </c>
    </row>
    <row r="5">
      <c r="A5" s="20" t="inlineStr">
        <is>
          <t>IMOB-0004521</t>
        </is>
      </c>
      <c r="B5" s="20" t="inlineStr">
        <is>
          <t>CC-SP-02 (Base Paulínia)</t>
        </is>
      </c>
      <c r="C5" s="20" t="inlineStr">
        <is>
          <t>Tanques e Equipamentos de Base</t>
        </is>
      </c>
      <c r="D5" s="12" t="n">
        <v>150000</v>
      </c>
      <c r="E5" s="12" t="n">
        <v>157500</v>
      </c>
      <c r="F5" s="12">
        <f>D5-E5</f>
        <v/>
      </c>
      <c r="G5" s="12" t="n">
        <v>135000</v>
      </c>
      <c r="H5" s="12">
        <f>E5-G5</f>
        <v/>
      </c>
      <c r="I5" s="21" t="inlineStr">
        <is>
          <t>Depreciação &gt; Custo (Over-depreciation)</t>
        </is>
      </c>
    </row>
    <row r="6">
      <c r="A6" s="20" t="inlineStr">
        <is>
          <t>IMOB-0012890</t>
        </is>
      </c>
      <c r="B6" s="20" t="inlineStr">
        <is>
          <t>CC-RIO-01 (Matriz)</t>
        </is>
      </c>
      <c r="C6" s="20" t="inlineStr">
        <is>
          <t>Edificações e Benfeitorias</t>
        </is>
      </c>
      <c r="D6" s="12" t="n">
        <v>450000</v>
      </c>
      <c r="E6" s="12" t="n">
        <v>472500</v>
      </c>
      <c r="F6" s="12">
        <f>D6-E6</f>
        <v/>
      </c>
      <c r="G6" s="12" t="n">
        <v>405000</v>
      </c>
      <c r="H6" s="12">
        <f>E6-G6</f>
        <v/>
      </c>
      <c r="I6" s="21" t="inlineStr">
        <is>
          <t>Depreciação &gt; Custo (Over-depreciation)</t>
        </is>
      </c>
    </row>
    <row r="7">
      <c r="A7" s="20" t="inlineStr">
        <is>
          <t>IMOB-0034102</t>
        </is>
      </c>
      <c r="B7" s="20" t="inlineStr">
        <is>
          <t>CC-BA-03 (Base Candeias)</t>
        </is>
      </c>
      <c r="C7" s="20" t="inlineStr">
        <is>
          <t>Bombas e Unidades de Abastecimento</t>
        </is>
      </c>
      <c r="D7" s="12" t="n">
        <v>85000</v>
      </c>
      <c r="E7" s="12" t="n">
        <v>89250</v>
      </c>
      <c r="F7" s="12">
        <f>D7-E7</f>
        <v/>
      </c>
      <c r="G7" s="12" t="n">
        <v>76500</v>
      </c>
      <c r="H7" s="12">
        <f>E7-G7</f>
        <v/>
      </c>
      <c r="I7" s="21" t="inlineStr">
        <is>
          <t>Depreciação &gt; Custo (Over-depreciation)</t>
        </is>
      </c>
    </row>
    <row r="8">
      <c r="A8" s="20" t="inlineStr">
        <is>
          <t>IMOB-0056981</t>
        </is>
      </c>
      <c r="B8" s="20" t="inlineStr">
        <is>
          <t>CC-MG-04 (Base Betim)</t>
        </is>
      </c>
      <c r="C8" s="20" t="inlineStr">
        <is>
          <t>Tanques e Equipamentos de Base</t>
        </is>
      </c>
      <c r="D8" s="12" t="n">
        <v>220000</v>
      </c>
      <c r="E8" s="12" t="n">
        <v>231000</v>
      </c>
      <c r="F8" s="12">
        <f>D8-E8</f>
        <v/>
      </c>
      <c r="G8" s="12" t="n">
        <v>198000</v>
      </c>
      <c r="H8" s="12">
        <f>E8-G8</f>
        <v/>
      </c>
      <c r="I8" s="21" t="inlineStr">
        <is>
          <t>Depreciação &gt; Custo (Over-depreciation)</t>
        </is>
      </c>
    </row>
    <row r="9">
      <c r="A9" s="20" t="inlineStr">
        <is>
          <t>IMOB-0089123</t>
        </is>
      </c>
      <c r="B9" s="20" t="inlineStr">
        <is>
          <t>CC-RS-05 (Base Canoas)</t>
        </is>
      </c>
      <c r="C9" s="20" t="inlineStr">
        <is>
          <t>Equipamentos de Informática</t>
        </is>
      </c>
      <c r="D9" s="12" t="n">
        <v>35000</v>
      </c>
      <c r="E9" s="12" t="n">
        <v>36750</v>
      </c>
      <c r="F9" s="12">
        <f>D9-E9</f>
        <v/>
      </c>
      <c r="G9" s="12" t="n">
        <v>31500</v>
      </c>
      <c r="H9" s="12">
        <f>E9-G9</f>
        <v/>
      </c>
      <c r="I9" s="21" t="inlineStr">
        <is>
          <t>Depreciação &gt; Custo (Over-depreciation)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2026-10-24T18:14:21Z</dcterms:created>
  <dcterms:modified xmlns:dcterms="http://purl.org/dc/terms/" xmlns:xsi="http://www.w3.org/2001/XMLSchema-instance" xsi:type="dcterms:W3CDTF">2026-10-24T18:14:21Z</dcterms:modified>
</cp:coreProperties>
</file>